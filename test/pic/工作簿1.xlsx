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sp\Desktop\"/>
    </mc:Choice>
  </mc:AlternateContent>
  <xr:revisionPtr revIDLastSave="0" documentId="13_ncr:1_{F76289CF-5340-48F6-9418-662D01A414ED}" xr6:coauthVersionLast="47" xr6:coauthVersionMax="47" xr10:uidLastSave="{00000000-0000-0000-0000-000000000000}"/>
  <bookViews>
    <workbookView xWindow="-98" yWindow="-98" windowWidth="21795" windowHeight="12975" xr2:uid="{76167E04-2109-42C3-AD66-13F50C16C5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I9" i="1" s="1"/>
  <c r="H3" i="1"/>
  <c r="I3" i="1" s="1"/>
  <c r="H4" i="1"/>
  <c r="I4" i="1" s="1"/>
  <c r="H5" i="1"/>
  <c r="I5" i="1"/>
  <c r="H6" i="1"/>
  <c r="I6" i="1" s="1"/>
  <c r="H2" i="1"/>
  <c r="I2" i="1" s="1"/>
  <c r="B9" i="1"/>
  <c r="C9" i="1" s="1"/>
  <c r="E9" i="1" s="1"/>
  <c r="E16" i="1"/>
  <c r="B6" i="1"/>
  <c r="C6" i="1" s="1"/>
  <c r="E6" i="1" s="1"/>
  <c r="F6" i="1"/>
  <c r="B5" i="1"/>
  <c r="C5" i="1" s="1"/>
  <c r="E5" i="1" s="1"/>
  <c r="F5" i="1"/>
  <c r="B3" i="1"/>
  <c r="F3" i="1" s="1"/>
  <c r="C3" i="1"/>
  <c r="E3" i="1"/>
  <c r="B4" i="1"/>
  <c r="C4" i="1" s="1"/>
  <c r="E4" i="1" s="1"/>
  <c r="F2" i="1"/>
  <c r="B2" i="1"/>
  <c r="C2" i="1" s="1"/>
  <c r="E2" i="1" s="1"/>
  <c r="F9" i="1" l="1"/>
  <c r="F4" i="1"/>
</calcChain>
</file>

<file path=xl/sharedStrings.xml><?xml version="1.0" encoding="utf-8"?>
<sst xmlns="http://schemas.openxmlformats.org/spreadsheetml/2006/main" count="16" uniqueCount="16">
  <si>
    <t>T/℃</t>
    <phoneticPr fontId="1" type="noConversion"/>
  </si>
  <si>
    <t>压强/Pa</t>
    <phoneticPr fontId="1" type="noConversion"/>
  </si>
  <si>
    <t>分子自由程/m</t>
    <phoneticPr fontId="1" type="noConversion"/>
  </si>
  <si>
    <t>Kn</t>
    <phoneticPr fontId="1" type="noConversion"/>
  </si>
  <si>
    <t>真空区厚度/mm</t>
    <phoneticPr fontId="1" type="noConversion"/>
  </si>
  <si>
    <t>真空区压强/Pa</t>
    <phoneticPr fontId="1" type="noConversion"/>
  </si>
  <si>
    <t>A</t>
    <phoneticPr fontId="1" type="noConversion"/>
  </si>
  <si>
    <t>T</t>
    <phoneticPr fontId="1" type="noConversion"/>
  </si>
  <si>
    <t>B</t>
    <phoneticPr fontId="1" type="noConversion"/>
  </si>
  <si>
    <t>C</t>
    <phoneticPr fontId="1" type="noConversion"/>
  </si>
  <si>
    <t>P</t>
    <phoneticPr fontId="1" type="noConversion"/>
  </si>
  <si>
    <t>S</t>
    <phoneticPr fontId="1" type="noConversion"/>
  </si>
  <si>
    <t>尺度/m</t>
    <phoneticPr fontId="1" type="noConversion"/>
  </si>
  <si>
    <t>熟化时间/s</t>
    <phoneticPr fontId="1" type="noConversion"/>
  </si>
  <si>
    <t>熟化时间/天</t>
    <phoneticPr fontId="1" type="noConversion"/>
  </si>
  <si>
    <t>100微米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</si>
</sst>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9D370-71C7-45EB-B0C5-FFF295A6A0EF}">
  <dimension ref="A1:K16"/>
  <sheetViews>
    <sheetView tabSelected="1" workbookViewId="0">
      <selection activeCell="L8" sqref="L8"/>
    </sheetView>
  </sheetViews>
  <sheetFormatPr defaultRowHeight="13.9" x14ac:dyDescent="0.4"/>
  <cols>
    <col min="2" max="2" width="12.46484375" bestFit="1" customWidth="1"/>
    <col min="3" max="3" width="13.86328125" customWidth="1"/>
    <col min="5" max="5" width="18.1328125" customWidth="1"/>
    <col min="6" max="6" width="12.796875" bestFit="1" customWidth="1"/>
    <col min="8" max="9" width="9.33203125" bestFit="1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</v>
      </c>
      <c r="H1" t="s">
        <v>13</v>
      </c>
      <c r="I1" t="s">
        <v>14</v>
      </c>
    </row>
    <row r="2" spans="1:11" x14ac:dyDescent="0.4">
      <c r="A2">
        <v>-30</v>
      </c>
      <c r="B2">
        <f>10^(-3512.8/(A2+273.1)-2.013*LOG(A2+273.1,10)+13.374)*100000</f>
        <v>0.13224958265221226</v>
      </c>
      <c r="C2">
        <f>1.38E-23*(A2+273.15)/2^0.5/(4*PI()*0.0000000004982*0.0000000004982)/B2</f>
        <v>5.7521041620043093E-3</v>
      </c>
      <c r="D2">
        <v>10</v>
      </c>
      <c r="E2">
        <f>C2/D2*1000</f>
        <v>0.5752104162004309</v>
      </c>
      <c r="F2">
        <f>B2/100</f>
        <v>1.3224958265221226E-3</v>
      </c>
      <c r="G2" s="1">
        <v>1E-4</v>
      </c>
      <c r="H2" s="1">
        <f>G2^2*81/32/B2*(2*PI()*1.38E-23*(273.15+A2)*0.106/6.02E+23)^0.5*1.38E-23*(273.15+A2)/0.017/5E-29/5E-29</f>
        <v>920717635.9783057</v>
      </c>
      <c r="I2" s="1">
        <f>H2/3600/24</f>
        <v>10656.454120119279</v>
      </c>
    </row>
    <row r="3" spans="1:11" x14ac:dyDescent="0.4">
      <c r="A3">
        <v>0</v>
      </c>
      <c r="B3">
        <f t="shared" ref="B3:B6" si="0">10^(-3512.8/(A3+273.1)-2.013*LOG(A3+273.1,10)+13.374)*100000</f>
        <v>4.045728710180363</v>
      </c>
      <c r="C3">
        <f t="shared" ref="C3:C4" si="1">1.38E-23*(A3+273.15)/2^0.5/(4*PI()*0.0000000004982*0.0000000004982)/B3</f>
        <v>2.1122787286785181E-4</v>
      </c>
      <c r="D3">
        <v>10</v>
      </c>
      <c r="E3">
        <f t="shared" ref="E3:E4" si="2">C3/D3*1000</f>
        <v>2.1122787286785183E-2</v>
      </c>
      <c r="F3">
        <f t="shared" ref="F3:F4" si="3">B3/100</f>
        <v>4.045728710180363E-2</v>
      </c>
      <c r="G3" s="1">
        <v>1.0000000000000001E-5</v>
      </c>
      <c r="H3" s="1">
        <f t="shared" ref="H3:H6" si="4">G3^2*81/32/B3*(2*PI()*1.38E-23*(273.15+A3)*0.106/6.02E+23)^0.5*1.38E-23*(273.15+A3)/0.017/5E-29/5E-29</f>
        <v>358355.77789875621</v>
      </c>
      <c r="I3" s="1">
        <f t="shared" ref="I3:I9" si="5">H3/3600/24</f>
        <v>4.1476363182726415</v>
      </c>
    </row>
    <row r="4" spans="1:11" x14ac:dyDescent="0.4">
      <c r="A4">
        <v>20</v>
      </c>
      <c r="B4">
        <f t="shared" si="0"/>
        <v>26.479458450203207</v>
      </c>
      <c r="C4">
        <f t="shared" si="1"/>
        <v>3.4635987789541544E-5</v>
      </c>
      <c r="D4">
        <v>10</v>
      </c>
      <c r="E4">
        <f t="shared" si="2"/>
        <v>3.4635987789541542E-3</v>
      </c>
      <c r="F4">
        <f t="shared" si="3"/>
        <v>0.26479458450203208</v>
      </c>
      <c r="G4" s="1">
        <v>1E-4</v>
      </c>
      <c r="H4" s="1">
        <f t="shared" si="4"/>
        <v>6087445.8393184748</v>
      </c>
      <c r="I4" s="1">
        <f t="shared" si="5"/>
        <v>70.456549066186042</v>
      </c>
    </row>
    <row r="5" spans="1:11" x14ac:dyDescent="0.4">
      <c r="A5">
        <v>24</v>
      </c>
      <c r="B5">
        <f t="shared" si="0"/>
        <v>37.361005332690979</v>
      </c>
      <c r="C5">
        <f t="shared" ref="C5" si="6">1.38E-23*(A5+273.15)/2^0.5/(4*PI()*0.0000000004982*0.0000000004982)/B5</f>
        <v>2.4883069854709777E-5</v>
      </c>
      <c r="D5">
        <v>10</v>
      </c>
      <c r="E5">
        <f t="shared" ref="E5" si="7">C5/D5*1000</f>
        <v>2.4883069854709774E-3</v>
      </c>
      <c r="F5">
        <f t="shared" ref="F5" si="8">B5/100</f>
        <v>0.37361005332690977</v>
      </c>
      <c r="G5" s="1">
        <v>1E-4</v>
      </c>
      <c r="H5" s="1">
        <f t="shared" si="4"/>
        <v>4403058.0293634124</v>
      </c>
      <c r="I5" s="1">
        <f t="shared" si="5"/>
        <v>50.961319784298752</v>
      </c>
      <c r="K5" t="s">
        <v>15</v>
      </c>
    </row>
    <row r="6" spans="1:11" x14ac:dyDescent="0.4">
      <c r="A6">
        <v>-20</v>
      </c>
      <c r="B6">
        <f t="shared" si="0"/>
        <v>0.45401870070911537</v>
      </c>
      <c r="C6">
        <f t="shared" ref="C6" si="9">1.38E-23*(A6+273.15)/2^0.5/(4*PI()*0.0000000004982*0.0000000004982)/B6</f>
        <v>1.7444196428730487E-3</v>
      </c>
      <c r="D6">
        <v>10</v>
      </c>
      <c r="E6">
        <f t="shared" ref="E6" si="10">C6/D6*1000</f>
        <v>0.17444196428730488</v>
      </c>
      <c r="F6">
        <f t="shared" ref="F6" si="11">B6/100</f>
        <v>4.5401870070911534E-3</v>
      </c>
      <c r="G6" s="1">
        <v>1E-4</v>
      </c>
      <c r="H6" s="1">
        <f t="shared" si="4"/>
        <v>284906604.83496028</v>
      </c>
      <c r="I6" s="1">
        <f t="shared" si="5"/>
        <v>3297.5301485527812</v>
      </c>
    </row>
    <row r="7" spans="1:11" x14ac:dyDescent="0.4">
      <c r="G7" s="1"/>
      <c r="H7" s="1"/>
      <c r="I7" s="1"/>
    </row>
    <row r="8" spans="1:11" x14ac:dyDescent="0.4">
      <c r="A8" t="s">
        <v>11</v>
      </c>
      <c r="G8" s="1"/>
      <c r="H8" s="1"/>
      <c r="I8" s="1"/>
    </row>
    <row r="9" spans="1:11" x14ac:dyDescent="0.4">
      <c r="A9">
        <v>30</v>
      </c>
      <c r="B9">
        <f>EXP(89.273-13463/(A9+273.15)-8.9643*LOG(A9+273.15,EXP(1)))</f>
        <v>1.7269307635102659E-3</v>
      </c>
      <c r="C9">
        <f>1.38E-23*(A9+273.15)/2^0.5/(4*PI()*0.0000000004982*0.0000000004982)/B9</f>
        <v>0.54919860398956333</v>
      </c>
      <c r="D9">
        <v>10</v>
      </c>
      <c r="E9">
        <f t="shared" ref="E9" si="12">C9/D9*1000</f>
        <v>54.919860398956331</v>
      </c>
      <c r="F9">
        <f t="shared" ref="F9" si="13">B9/100</f>
        <v>1.7269307635102658E-5</v>
      </c>
      <c r="G9" s="1">
        <v>1E-3</v>
      </c>
      <c r="H9" s="1">
        <f t="shared" ref="H9" si="14">G9^2*81/32/B9*(2*PI()*1.38E-23*(273.15+A9)*0.106/6.02E+23)^0.5*1.38E-23*(273.15+A9)/0.017/5E-29/5E-29</f>
        <v>9815689097179.9766</v>
      </c>
      <c r="I9" s="1">
        <f t="shared" si="5"/>
        <v>113607512.69884233</v>
      </c>
    </row>
    <row r="15" spans="1:11" x14ac:dyDescent="0.4">
      <c r="A15" t="s">
        <v>7</v>
      </c>
      <c r="B15" t="s">
        <v>6</v>
      </c>
      <c r="C15" t="s">
        <v>8</v>
      </c>
      <c r="D15" t="s">
        <v>9</v>
      </c>
      <c r="E15" t="s">
        <v>10</v>
      </c>
    </row>
    <row r="16" spans="1:11" x14ac:dyDescent="0.4">
      <c r="A16">
        <v>25</v>
      </c>
      <c r="B16">
        <v>7.16</v>
      </c>
      <c r="C16">
        <v>2033.35</v>
      </c>
      <c r="D16">
        <v>197.71</v>
      </c>
      <c r="E16">
        <f>10^(B16-C16/(A16+273.15+D16))*133.322</f>
        <v>152844.00524872643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孙鹏 周</dc:creator>
  <cp:lastModifiedBy>孙鹏 周</cp:lastModifiedBy>
  <dcterms:created xsi:type="dcterms:W3CDTF">2025-11-07T02:41:54Z</dcterms:created>
  <dcterms:modified xsi:type="dcterms:W3CDTF">2025-11-18T05:29:46Z</dcterms:modified>
</cp:coreProperties>
</file>